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9d4a00c9e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2" r:id="R5822d2dcf4c942ab"/>
    <x:sheet xmlns:r="http://schemas.openxmlformats.org/officeDocument/2006/relationships" name="問題單清單" sheetId="1" r:id="R67271bb3a1694d92"/>
    <x:sheet xmlns:r="http://schemas.openxmlformats.org/officeDocument/2006/relationships" name="過版調整" sheetId="3" r:id="R16a1528341b647db"/>
  </x:sheets>
</x:workbook>
</file>

<file path=xl/comments1.xml><?xml version="1.0" encoding="utf-8"?>
<x:comments xmlns:x="http://schemas.openxmlformats.org/spreadsheetml/2006/main">
  <x:authors>
    <x:author>tc={CE2B45F8-1A89-FD19-EB8E-B847458C80B8}</x:author>
    <x:author>tc={8043AE58-F2F0-9178-807D-D9404B36D82A}</x:author>
    <x:author>tc={F04B5160-18FC-8145-34B5-7B5B8C14F1DC}</x:author>
    <x:author>tc={39381F14-071A-8B04-1460-038A4425FEC2}</x:author>
    <x:author>tc={9642538B-2180-9378-5850-67D9DC6109A9}</x:author>
    <x:author>tc={07E17467-0295-DFFD-73E2-6818CB17BC8B}</x:author>
    <x:author>tc={E87EAC3D-F27C-9A96-C9F9-706AF8890650}</x:author>
    <x:author>tc={BB7544DD-7272-414F-AB8A-F6765D8789E1}</x:author>
    <x:author>tc={E0775666-CBD3-D770-FE67-D9D80E584174}</x:author>
    <x:author>tc={D63DD5D6-8C8D-6B0E-8724-9E1F1BE002E8}</x:author>
    <x:author>tc={ADF7172C-498C-6C7D-6EC1-1FEAF58E3B36}</x:author>
    <x:author>tc={31CA2B81-2F1E-097E-0D0C-7611CFA62AAE}</x:author>
    <x:author>tc={EDD1D20C-9CB7-CD2F-897B-F14E7AD2B01D}</x:author>
    <x:author>tc={FC88E406-EBC7-2EE9-B1FE-3C81590810A6}</x:author>
    <x:author>tc={4045EB86-F2A1-C11F-55FB-4EFE0842C521}</x:author>
    <x:author>tc={2A9509AF-0ADD-62CE-A0B2-F9F4A6E72CFF}</x:author>
    <x:author>tc={67A97D34-2363-9470-E4BC-CE5E5268590E}</x:author>
    <x:author>tc={B18308E6-6E3F-3CC3-AFEC-0D5FB1627BE3}</x:author>
    <x:author>tc={6F2375EC-08AF-22FE-7D1F-ABE6C6DE0DB6}</x:author>
    <x:author>tc={2F9B0354-4CC7-6A1F-0072-E9941C38DC9A}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{"operation":"snapshot","metric":"status_count","category":"處理中","timing":"pre_update"}
placeholder: ${更新前的處理中問題單數}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{"operation":"snapshot","metric":"status_count","category":"待過版","timing":"pre_update"}
placeholder: ${更新前的待過版問題單數}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{"operation":"snapshot","metric":"status_count","category":"已解決","includeStatusValues":["已解決","已結束"],"timing":"pre_update"}
placeholder: ${更新前的已解決問題單數}</x:t>
        </x:r>
      </x:text>
    </x:comment>
    <x:comment ref="F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{"operation":"snapshot","metric":"status_count","category":"不明","timing":"pre_update"}
placeholder: ${更新前的不明問題單數}</x:t>
        </x:r>
      </x:text>
    </x:comment>
    <x:comment ref="G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{"operation":"formula","metric":"status_count","category":"處理中","formula":"=COUNTA('問題單清單'!$A$2:$A$5000)-G5-G6-G7"}
placeholder: ${統計處理中問題單數}</x:t>
        </x:r>
      </x:text>
    </x:comment>
    <x:comment ref="G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{"operation":"formula","metric":"status_count","category":"待過版","formula":"=COUNTIF('問題單清單'!$J$2:$J$5000,\"待過版\")"}
placeholder: ${統計待過版問題單數}</x:t>
        </x:r>
      </x:text>
    </x:comment>
    <x:comment ref="G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{"operation":"formula","metric":"status_count","category":"已解決","includeStatusValues":["已解決","已結束"],"formula":"=COUNTIF('問題單清單'!$J$2:$J$5000,\"已解決\")+COUNTIF('問題單清單'!$J$2:$J$5000,\"已結束\")"}
placeholder: ${統計已解決與已結束問題單數}</x:t>
        </x:r>
      </x:text>
    </x:comment>
    <x:comment ref="G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{"operation":"formula","metric":"status_count","category":"不明","formula":"=COUNTIF('問題單清單'!$J$2:$J$5000,\"不明\")"}
placeholder: ${統計不明問題單數}</x:t>
        </x:r>
      </x:text>
    </x:comment>
    <x:comment ref="H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{"operation":"formula","metric":"change_ratio","formula":"=IF(F4=0,IF(G4=0,0,1),G4/F4-1)"}
placeholder: ${計算狀態異動比例}</x:t>
        </x:r>
      </x:text>
    </x:comment>
    <x:comment ref="H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{"operation":"formula","metric":"change_ratio","formula":"=IF(F5=0,IF(G5=0,0,1),G5/F5-1)"}
placeholder: ${計算狀態異動比例}</x:t>
        </x:r>
      </x:text>
    </x:comment>
    <x:comment ref="H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{"operation":"formula","metric":"change_ratio","formula":"=IF(F6=0,IF(G6=0,0,1),G6/F6-1)"}
placeholder: ${計算狀態異動比例}</x:t>
        </x:r>
      </x:text>
    </x:comment>
    <x:comment ref="H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{"operation":"formula","metric":"change_ratio","formula":"=IF(F7=0,IF(G7=0,0,1),G7/F7-1)"}
placeholder: ${計算狀態異動比例}</x:t>
        </x:r>
      </x:text>
    </x:comment>
    <x:comment ref="F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{"operation":"snapshot","metric":"csv_records","timing":"post_parse"}
placeholder: ${本次CSV筆數}</x:t>
        </x:r>
      </x:text>
    </x:comment>
    <x:comment ref="F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{"operation":"formula","metric":"total_issues","formula":"=COUNTA('問題單清單'!$A$2:$A$5000)"}
placeholder: ${統計問題單總數}</x:t>
        </x:r>
      </x:text>
    </x:comment>
    <x:comment ref="F1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{"operation":"snapshot","metric":"new_issues","timing":"post_update"}
placeholder: ${本次新增問題單數}</x:t>
        </x:r>
      </x:text>
    </x:comment>
    <x:comment ref="F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{"operation":"snapshot","metric":"updated_existing_issues","timing":"post_update"}
placeholder: ${本次更新既有問題單數}</x:t>
        </x:r>
      </x:text>
    </x:comment>
    <x:comment ref="F1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{"operation":"snapshot","metric":"missing_to_unknown","timing":"post_update"}
placeholder: ${本次缺單轉不明數}</x:t>
        </x:r>
      </x:text>
    </x:comment>
    <x:comment ref="F1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{"operation":"snapshot","metric":"unchanged_issues","timing":"post_update"}
placeholder: ${本次未變更問題單數}</x:t>
        </x:r>
      </x:text>
    </x:comment>
    <x:comment ref="F1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{"operation":"snapshot","metric":"updated_at","timing":"post_update"}
placeholder: ${本次更新時間}</x:t>
        </x:r>
      </x:text>
    </x:comment>
    <x:comment ref="F1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MANTIS_RULE_V1
{"operation":"snapshot","metric":"source_csv_name","timing":"post_parse"}
placeholder: ${本次來源CSV檔名}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<x:sst xmlns:x="http://schemas.openxmlformats.org/spreadsheetml/2006/main">
  <x:si>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sz val="1200"/>
        <x:color rgb="FF000000"/>
        <x:rFont val="Calibri"/>
        <x:family val="1"/>
        <x:scheme val="minor"/>
      </x:rPr>
      <x:t xml:space="preserve">問題單狀態</x:t>
    </x:r>
  </x:si>
  <x:si>
    <x:r>
      <x:rPr>
        <x:sz val="1200"/>
        <x:color rgb="FF000000"/>
        <x:rFont val="Calibri"/>
        <x:family val="1"/>
        <x:scheme val="minor"/>
      </x:rPr>
      <x:t xml:space="preserve">前次更新</x:t>
    </x:r>
  </x:si>
  <x:si>
    <x:r>
      <x:rPr>
        <x:sz val="1200"/>
        <x:color rgb="FF000000"/>
        <x:rFont val="Calibri"/>
        <x:family val="1"/>
        <x:scheme val="minor"/>
      </x:rPr>
      <x:t xml:space="preserve">本次更新</x:t>
    </x:r>
  </x:si>
  <x:si>
    <x:r>
      <x:rPr>
        <x:sz val="1200"/>
        <x:color rgb="FF000000"/>
        <x:rFont val="Calibri"/>
        <x:family val="1"/>
        <x:scheme val="minor"/>
      </x:rPr>
      <x:t xml:space="preserve">異動比例</x:t>
    </x:r>
  </x:si>
  <x:si>
    <x:t xml:space="preserve">編號</x:t>
  </x:si>
  <x:si>
    <x:t xml:space="preserve">分配給</x:t>
  </x:si>
  <x:si>
    <x:t xml:space="preserve">優先權</x:t>
  </x:si>
  <x:si>
    <x:t xml:space="preserve">嚴重性</x:t>
  </x:si>
  <x:si>
    <x:t xml:space="preserve">出現頻率</x:t>
  </x:si>
  <x:si>
    <x:t xml:space="preserve">類別</x:t>
  </x:si>
  <x:si>
    <x:t xml:space="preserve">回報日期</x:t>
  </x:si>
  <x:si>
    <x:t xml:space="preserve">已更新</x:t>
  </x:si>
  <x:si>
    <x:t xml:space="preserve">摘要</x:t>
  </x:si>
  <x:si>
    <x:t xml:space="preserve">狀態</x:t>
  </x:si>
  <x:si>
    <x:t xml:space="preserve">備註</x:t>
  </x:si>
  <x:si>
    <x:t xml:space="preserve">問題單</x:t>
  </x:si>
  <x:si>
    <x:t xml:space="preserve">問題</x:t>
  </x:si>
  <x:si>
    <x:t xml:space="preserve">類型</x:t>
  </x:si>
  <x:si>
    <x:t xml:space="preserve">程式/服務</x:t>
  </x:si>
  <x:si>
    <x:t xml:space="preserve">版本號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</x:si>
</x:sst>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24">
    <x:font>
      <x:sz val="12"/>
      <x:color theme="1"/>
      <x:name val="新細明體"/>
    </x:font>
    <x:font>
      <x:sz val="12"/>
      <x:color theme="1"/>
      <x:name val="新細明體"/>
    </x:font>
    <x:font>
      <x:sz val="18"/>
      <x:color theme="3"/>
      <x:name val="新細明體"/>
    </x:font>
    <x:font>
      <x:b/>
      <x:sz val="15"/>
      <x:color theme="3"/>
      <x:name val="新細明體"/>
    </x:font>
    <x:font>
      <x:b/>
      <x:sz val="13"/>
      <x:color theme="3"/>
      <x:name val="新細明體"/>
    </x:font>
    <x:font>
      <x:b/>
      <x:sz val="11"/>
      <x:color theme="3"/>
      <x:name val="新細明體"/>
    </x:font>
    <x:font>
      <x:sz val="12"/>
      <x:color rgb="FF006100"/>
      <x:name val="新細明體"/>
    </x:font>
    <x:font>
      <x:sz val="12"/>
      <x:color rgb="FF9C0006"/>
      <x:name val="新細明體"/>
    </x:font>
    <x:font>
      <x:sz val="12"/>
      <x:color rgb="FF9C5700"/>
      <x:name val="新細明體"/>
    </x:font>
    <x:font>
      <x:sz val="12"/>
      <x:color rgb="FF3F3F76"/>
      <x:name val="新細明體"/>
    </x:font>
    <x:font>
      <x:b/>
      <x:sz val="12"/>
      <x:color rgb="FF3F3F3F"/>
      <x:name val="新細明體"/>
    </x:font>
    <x:font>
      <x:b/>
      <x:sz val="12"/>
      <x:color rgb="FFFA7D00"/>
      <x:name val="新細明體"/>
    </x:font>
    <x:font>
      <x:sz val="12"/>
      <x:color rgb="FFFA7D00"/>
      <x:name val="新細明體"/>
    </x:font>
    <x:font>
      <x:b/>
      <x:sz val="12"/>
      <x:color theme="0"/>
      <x:name val="新細明體"/>
    </x:font>
    <x:font>
      <x:sz val="12"/>
      <x:color rgb="FFFF0000"/>
      <x:name val="新細明體"/>
    </x:font>
    <x:font>
      <x:i/>
      <x:sz val="12"/>
      <x:color rgb="FF7F7F7F"/>
      <x:name val="新細明體"/>
    </x:font>
    <x:font>
      <x:b/>
      <x:sz val="12"/>
      <x:color theme="1"/>
      <x:name val="新細明體"/>
    </x:font>
    <x:font>
      <x:sz val="12"/>
      <x:color theme="0"/>
      <x:name val="新細明體"/>
    </x:font>
    <x:font>
      <x:sz val="9"/>
      <x:name val="細明體"/>
    </x:font>
    <x:font>
      <x:sz val="12"/>
      <x:color theme="1"/>
      <x:name val="Calibri"/>
    </x:font>
    <x:font>
      <x:sz val="12"/>
      <x:color theme="1"/>
      <x:name val="Calibri"/>
    </x:font>
    <x:font>
      <x:b/>
      <x:sz val="11"/>
      <x:color rgb="FFFFFFFF"/>
      <x:name val="Microsoft JhengHei"/>
    </x:font>
    <x:font>
      <x:b/>
      <x:sz val="12"/>
      <x:color rgb="FFFFFFFF"/>
      <x:name val="新細明體"/>
    </x:font>
    <x:font>
      <x:b/>
      <x:sz val="12"/>
      <x:color rgb="FF1F1F1F"/>
      <x:name val="新細明體"/>
    </x:font>
  </x:fonts>
  <x:fills count="3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  <x:fill>
      <x:patternFill patternType="solid">
        <x:fgColor theme="5" tint="0.79989"/>
      </x:patternFill>
    </x:fill>
    <x:fill>
      <x:patternFill patternType="solid">
        <x:fgColor theme="7" tint="0.599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3">
    <x:border/>
    <x:border>
      <x:bottom style="thick">
        <x:color theme="4"/>
      </x:bottom>
    </x:border>
    <x:border>
      <x:bottom style="thick">
        <x:color theme="4" tint="0.49989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6">
    <x:xf numFmtId="0" fontId="0" fillId="0" borderId="0" xfId="0">
      <x:alignment vertical="center"/>
    </x:xf>
    <x:xf numFmtId="14" fontId="0" fillId="0" borderId="0" xfId="0" applyNumberFormat="1">
      <x:alignment vertical="center"/>
    </x:xf>
    <x:xf numFmtId="0" fontId="0" fillId="33" borderId="0" xfId="0" applyFill="1">
      <x:alignment vertical="center"/>
    </x:xf>
    <x:xf numFmtId="14" fontId="0" fillId="33" borderId="0" xfId="0" applyNumberFormat="1" applyFill="1">
      <x:alignment vertical="center"/>
    </x:xf>
    <x:xf numFmtId="0" fontId="0" fillId="34" borderId="0" xfId="0" applyFill="1">
      <x:alignment vertical="center"/>
    </x:xf>
    <x:xf numFmtId="14" fontId="0" fillId="34" borderId="0" xfId="0" applyNumberFormat="1" applyFill="1">
      <x:alignment vertical="center"/>
    </x:xf>
    <x:xf numFmtId="30" fontId="0" fillId="0" borderId="0" xfId="0" applyNumberFormat="1">
      <x:alignment vertical="center"/>
    </x:xf>
    <x:xf numFmtId="0" fontId="1" fillId="0" borderId="0" xfId="0" applyFont="1">
      <x:alignment vertical="center"/>
    </x:xf>
    <x:xf numFmtId="0" fontId="0" fillId="0" borderId="0" xfId="0" applyFill="1">
      <x:alignment vertical="center"/>
    </x:xf>
    <x:xf numFmtId="14" fontId="0" fillId="0" borderId="0" xfId="0" applyNumberFormat="1" applyFill="1">
      <x:alignment vertical="center"/>
    </x:xf>
    <x:xf numFmtId="30" fontId="0" fillId="0" borderId="0" xfId="0" applyNumberFormat="1" applyFill="1">
      <x:alignment vertical="center"/>
    </x:xf>
    <x:xf numFmtId="0" fontId="0" fillId="0" borderId="10" xfId="0" applyBorder="1">
      <x:alignment vertical="center"/>
    </x:xf>
    <x:xf numFmtId="0" fontId="19" fillId="0" borderId="10" xfId="0" applyFont="1" applyBorder="1">
      <x:alignment vertical="center"/>
    </x:xf>
    <x:xf numFmtId="0" fontId="21" fillId="35" borderId="11" xfId="0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 applyAlignment="1">
      <x:alignment vertical="center"/>
    </x:xf>
    <x:xf numFmtId="0" fontId="22" fillId="36" borderId="0" xfId="0" applyNumberFormat="1" applyFont="1" applyFill="1" applyBorder="1" applyAlignment="1">
      <x:alignment vertical="center"/>
    </x:xf>
    <x:xf numFmtId="0" fontId="2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 applyAlignment="1">
      <x:alignment vertical="center"/>
    </x:xf>
    <x:xf numFmtId="0" fontId="23" fillId="37" borderId="0" xfId="0" applyNumberFormat="1" applyFont="1" applyFill="1" applyBorder="1" applyAlignment="1">
      <x:alignment vertical="center"/>
    </x:xf>
    <x:xf numFmtId="0" fontId="23" fillId="37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center"/>
    </x:xf>
    <x:xf numFmtId="0" fontId="23" fillId="37" borderId="12" xfId="0" applyNumberFormat="1" applyFont="1" applyFill="1" applyBorder="1" applyAlignment="1">
      <x:alignment horizontal="left"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</x:cellXfs>
  <x:cellStyles count="42">
    <x:cellStyle name="20% - 輔色1" xfId="19"/>
    <x:cellStyle name="20% - 輔色2" xfId="23"/>
    <x:cellStyle name="20% - 輔色3" xfId="27"/>
    <x:cellStyle name="20% - 輔色4" xfId="31"/>
    <x:cellStyle name="20% - 輔色5" xfId="35"/>
    <x:cellStyle name="20% - 輔色6" xfId="39"/>
    <x:cellStyle name="40% - 輔色1" xfId="20"/>
    <x:cellStyle name="40% - 輔色2" xfId="24"/>
    <x:cellStyle name="40% - 輔色3" xfId="28"/>
    <x:cellStyle name="40% - 輔色4" xfId="32"/>
    <x:cellStyle name="40% - 輔色5" xfId="36"/>
    <x:cellStyle name="40% - 輔色6" xfId="40"/>
    <x:cellStyle name="60% - 輔色1" xfId="21"/>
    <x:cellStyle name="60% - 輔色2" xfId="25"/>
    <x:cellStyle name="60% - 輔色3" xfId="29"/>
    <x:cellStyle name="60% - 輔色4" xfId="33"/>
    <x:cellStyle name="60% - 輔色5" xfId="37"/>
    <x:cellStyle name="60% - 輔色6" xfId="41"/>
    <x:cellStyle name="一般" xfId="0"/>
    <x:cellStyle name="中等" xfId="8"/>
    <x:cellStyle name="合計" xfId="17"/>
    <x:cellStyle name="好" xfId="6"/>
    <x:cellStyle name="計算方式" xfId="11"/>
    <x:cellStyle name="連結的儲存格" xfId="12"/>
    <x:cellStyle name="備註" xfId="15"/>
    <x:cellStyle name="說明文字" xfId="16"/>
    <x:cellStyle name="輔色1" xfId="18"/>
    <x:cellStyle name="輔色2" xfId="22"/>
    <x:cellStyle name="輔色3" xfId="26"/>
    <x:cellStyle name="輔色4" xfId="30"/>
    <x:cellStyle name="輔色5" xfId="34"/>
    <x:cellStyle name="輔色6" xfId="38"/>
    <x:cellStyle name="標題" xfId="1"/>
    <x:cellStyle name="標題 1" xfId="2"/>
    <x:cellStyle name="標題 2" xfId="3"/>
    <x:cellStyle name="標題 3" xfId="4"/>
    <x:cellStyle name="標題 4" xfId="5"/>
    <x:cellStyle name="輸入" xfId="9"/>
    <x:cellStyle name="輸出" xfId="10"/>
    <x:cellStyle name="檢查儲存格" xfId="13"/>
    <x:cellStyle name="壞" xfId="7"/>
    <x:cellStyle name="警告文字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2534ca33b4cbc" /><Relationship Type="http://schemas.openxmlformats.org/officeDocument/2006/relationships/theme" Target="/xl/theme/theme1.xml" Id="Rbffbd018c23c4e30" /><Relationship Type="http://schemas.openxmlformats.org/officeDocument/2006/relationships/sharedStrings" Target="/xl/sharedStrings.xml" Id="Rb3e8161b04104834" /><Relationship Type="http://schemas.openxmlformats.org/officeDocument/2006/relationships/worksheet" Target="/xl/worksheets/sheet1.xml" Id="R5822d2dcf4c942ab" /><Relationship Type="http://schemas.openxmlformats.org/officeDocument/2006/relationships/worksheet" Target="/xl/worksheets/sheet2.xml" Id="R67271bb3a1694d92" /><Relationship Type="http://schemas.openxmlformats.org/officeDocument/2006/relationships/worksheet" Target="/xl/worksheets/sheet3.xml" Id="R16a1528341b647db" /><Relationship Type="http://schemas.microsoft.com/office/2017/10/relationships/person" Target="/xl/persons/person.xml" Id="R4a5fb41b1c814d3d" /></Relationships>
</file>

<file path=xl/persons/person.xml><?xml version="1.0" encoding="utf-8"?>
<xltc:personList xmlns:xltc="http://schemas.microsoft.com/office/spreadsheetml/2018/threadedcomments">
  <xltc:person displayName="Derick Chang" id="{DA9D3628-8CD8-4C18-B233-E80743B58DE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4" dT="2026-08-19T12:40:41.797" personId="{DA9D3628-8CD8-4C18-B233-E80743B58DEF}" id="{CE2B45F8-1A89-FD19-EB8E-B847458C80B8}">
    <xltc:text>MANTIS_RULE_V1
{"operation":"snapshot","metric":"status_count","category":"處理中","timing":"pre_update"}
placeholder: ${更新前的處理中問題單數}</xltc:text>
  </xltc:threadedComment>
  <xltc:threadedComment ref="F5" dT="2026-08-19T12:40:41.802" personId="{DA9D3628-8CD8-4C18-B233-E80743B58DEF}" id="{8043AE58-F2F0-9178-807D-D9404B36D82A}">
    <xltc:text>MANTIS_RULE_V1
{"operation":"snapshot","metric":"status_count","category":"待過版","timing":"pre_update"}
placeholder: ${更新前的待過版問題單數}</xltc:text>
  </xltc:threadedComment>
  <xltc:threadedComment ref="F6" dT="2026-08-19T12:40:41.802" personId="{DA9D3628-8CD8-4C18-B233-E80743B58DEF}" id="{F04B5160-18FC-8145-34B5-7B5B8C14F1DC}">
    <xltc:text>MANTIS_RULE_V1
{"operation":"snapshot","metric":"status_count","category":"已解決","includeStatusValues":["已解決","已結束"],"timing":"pre_update"}
placeholder: ${更新前的已解決問題單數}</xltc:text>
  </xltc:threadedComment>
  <xltc:threadedComment ref="F7" dT="2026-08-19T12:40:41.802" personId="{DA9D3628-8CD8-4C18-B233-E80743B58DEF}" id="{39381F14-071A-8B04-1460-038A4425FEC2}">
    <xltc:text>MANTIS_RULE_V1
{"operation":"snapshot","metric":"status_count","category":"不明","timing":"pre_update"}
placeholder: ${更新前的不明問題單數}</xltc:text>
  </xltc:threadedComment>
  <xltc:threadedComment ref="G4" dT="2026-08-19T12:40:41.802" personId="{DA9D3628-8CD8-4C18-B233-E80743B58DEF}" id="{9642538B-2180-9378-5850-67D9DC6109A9}">
    <xltc:text>MANTIS_RULE_V1
{"operation":"formula","metric":"status_count","category":"處理中","formula":"=COUNTA('問題單清單'!$A$2:$A$5000)-G5-G6-G7"}
placeholder: ${統計處理中問題單數}</xltc:text>
  </xltc:threadedComment>
  <xltc:threadedComment ref="G5" dT="2026-08-19T12:40:41.802" personId="{DA9D3628-8CD8-4C18-B233-E80743B58DEF}" id="{07E17467-0295-DFFD-73E2-6818CB17BC8B}">
    <xltc:text>MANTIS_RULE_V1
{"operation":"formula","metric":"status_count","category":"待過版","formula":"=COUNTIF('問題單清單'!$J$2:$J$5000,\"待過版\")"}
placeholder: ${統計待過版問題單數}</xltc:text>
  </xltc:threadedComment>
  <xltc:threadedComment ref="G6" dT="2026-08-19T12:40:41.802" personId="{DA9D3628-8CD8-4C18-B233-E80743B58DEF}" id="{E87EAC3D-F27C-9A96-C9F9-706AF8890650}">
    <xltc:text>MANTIS_RULE_V1
{"operation":"formula","metric":"status_count","category":"已解決","includeStatusValues":["已解決","已結束"],"formula":"=COUNTIF('問題單清單'!$J$2:$J$5000,\"已解決\")+COUNTIF('問題單清單'!$J$2:$J$5000,\"已結束\")"}
placeholder: ${統計已解決與已結束問題單數}</xltc:text>
  </xltc:threadedComment>
  <xltc:threadedComment ref="G7" dT="2026-08-19T12:40:41.802" personId="{DA9D3628-8CD8-4C18-B233-E80743B58DEF}" id="{BB7544DD-7272-414F-AB8A-F6765D8789E1}">
    <xltc:text>MANTIS_RULE_V1
{"operation":"formula","metric":"status_count","category":"不明","formula":"=COUNTIF('問題單清單'!$J$2:$J$5000,\"不明\")"}
placeholder: ${統計不明問題單數}</xltc:text>
  </xltc:threadedComment>
  <xltc:threadedComment ref="H4" dT="2026-08-19T12:40:41.802" personId="{DA9D3628-8CD8-4C18-B233-E80743B58DEF}" id="{E0775666-CBD3-D770-FE67-D9D80E584174}">
    <xltc:text>MANTIS_RULE_V1
{"operation":"formula","metric":"change_ratio","formula":"=IF(F4=0,IF(G4=0,0,1),G4/F4-1)"}
placeholder: ${計算狀態異動比例}</xltc:text>
  </xltc:threadedComment>
  <xltc:threadedComment ref="H5" dT="2026-08-19T12:40:41.802" personId="{DA9D3628-8CD8-4C18-B233-E80743B58DEF}" id="{D63DD5D6-8C8D-6B0E-8724-9E1F1BE002E8}">
    <xltc:text>MANTIS_RULE_V1
{"operation":"formula","metric":"change_ratio","formula":"=IF(F5=0,IF(G5=0,0,1),G5/F5-1)"}
placeholder: ${計算狀態異動比例}</xltc:text>
  </xltc:threadedComment>
  <xltc:threadedComment ref="H6" dT="2026-08-19T12:40:41.802" personId="{DA9D3628-8CD8-4C18-B233-E80743B58DEF}" id="{ADF7172C-498C-6C7D-6EC1-1FEAF58E3B36}">
    <xltc:text>MANTIS_RULE_V1
{"operation":"formula","metric":"change_ratio","formula":"=IF(F6=0,IF(G6=0,0,1),G6/F6-1)"}
placeholder: ${計算狀態異動比例}</xltc:text>
  </xltc:threadedComment>
  <xltc:threadedComment ref="H7" dT="2026-08-19T12:40:41.802" personId="{DA9D3628-8CD8-4C18-B233-E80743B58DEF}" id="{31CA2B81-2F1E-097E-0D0C-7611CFA62AAE}">
    <xltc:text>MANTIS_RULE_V1
{"operation":"formula","metric":"change_ratio","formula":"=IF(F7=0,IF(G7=0,0,1),G7/F7-1)"}
placeholder: ${計算狀態異動比例}</xltc:text>
  </xltc:threadedComment>
  <xltc:threadedComment ref="F10" dT="2026-08-19T12:40:41.802" personId="{DA9D3628-8CD8-4C18-B233-E80743B58DEF}" id="{EDD1D20C-9CB7-CD2F-897B-F14E7AD2B01D}">
    <xltc:text>MANTIS_RULE_V1
{"operation":"snapshot","metric":"csv_records","timing":"post_parse"}
placeholder: ${本次CSV筆數}</xltc:text>
  </xltc:threadedComment>
  <xltc:threadedComment ref="F11" dT="2026-08-19T12:40:41.802" personId="{DA9D3628-8CD8-4C18-B233-E80743B58DEF}" id="{FC88E406-EBC7-2EE9-B1FE-3C81590810A6}">
    <xltc:text>MANTIS_RULE_V1
{"operation":"formula","metric":"total_issues","formula":"=COUNTA('問題單清單'!$A$2:$A$5000)"}
placeholder: ${統計問題單總數}</xltc:text>
  </xltc:threadedComment>
  <xltc:threadedComment ref="F12" dT="2026-08-19T12:40:41.802" personId="{DA9D3628-8CD8-4C18-B233-E80743B58DEF}" id="{4045EB86-F2A1-C11F-55FB-4EFE0842C521}">
    <xltc:text>MANTIS_RULE_V1
{"operation":"snapshot","metric":"new_issues","timing":"post_update"}
placeholder: ${本次新增問題單數}</xltc:text>
  </xltc:threadedComment>
  <xltc:threadedComment ref="F13" dT="2026-08-19T12:40:41.803" personId="{DA9D3628-8CD8-4C18-B233-E80743B58DEF}" id="{2A9509AF-0ADD-62CE-A0B2-F9F4A6E72CFF}">
    <xltc:text>MANTIS_RULE_V1
{"operation":"snapshot","metric":"updated_existing_issues","timing":"post_update"}
placeholder: ${本次更新既有問題單數}</xltc:text>
  </xltc:threadedComment>
  <xltc:threadedComment ref="F14" dT="2026-08-19T12:40:41.803" personId="{DA9D3628-8CD8-4C18-B233-E80743B58DEF}" id="{67A97D34-2363-9470-E4BC-CE5E5268590E}">
    <xltc:text>MANTIS_RULE_V1
{"operation":"snapshot","metric":"missing_to_unknown","timing":"post_update"}
placeholder: ${本次缺單轉不明數}</xltc:text>
  </xltc:threadedComment>
  <xltc:threadedComment ref="F15" dT="2026-08-19T12:40:41.803" personId="{DA9D3628-8CD8-4C18-B233-E80743B58DEF}" id="{B18308E6-6E3F-3CC3-AFEC-0D5FB1627BE3}">
    <xltc:text>MANTIS_RULE_V1
{"operation":"snapshot","metric":"unchanged_issues","timing":"post_update"}
placeholder: ${本次未變更問題單數}</xltc:text>
  </xltc:threadedComment>
  <xltc:threadedComment ref="F16" dT="2026-08-19T12:40:41.803" personId="{DA9D3628-8CD8-4C18-B233-E80743B58DEF}" id="{6F2375EC-08AF-22FE-7D1F-ABE6C6DE0DB6}">
    <xltc:text>MANTIS_RULE_V1
{"operation":"snapshot","metric":"updated_at","timing":"post_update"}
placeholder: ${本次更新時間}</xltc:text>
  </xltc:threadedComment>
  <xltc:threadedComment ref="F17" dT="2026-08-19T12:40:41.803" personId="{DA9D3628-8CD8-4C18-B233-E80743B58DEF}" id="{2F9B0354-4CC7-6A1F-0072-E9941C38DC9A}">
    <xltc:text>MANTIS_RULE_V1
{"operation":"snapshot","metric":"source_csv_name","timing":"post_parse"}
placeholder: ${本次來源CSV檔名}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e451b09aaea455f" /><Relationship Type="http://schemas.openxmlformats.org/officeDocument/2006/relationships/vmlDrawing" Target="/xl/drawings/vmldrawing.vml" Id="R96c5bd3a67b04d7e" /><Relationship Type="http://schemas.microsoft.com/office/2017/10/relationships/threadedComment" Target="/xl/threadedcomments/threadedcomment.xml" Id="Rdda81633c86c48bb" /></Relationships>
</file>

<file path=xl/worksheets/sheet1.xml><?xml version="1.0" encoding="utf-8"?>
<x:worksheet xmlns:x="http://schemas.openxmlformats.org/spreadsheetml/2006/main">
  <x:sheetFormatPr defaultRowHeight="16.200000762939453"/>
  <x:cols>
    <x:col min="5" max="5" width="18" hidden="0" customWidth="1"/>
    <x:col min="6" max="8" width="10.44140625" customWidth="1"/>
    <x:col min="6" max="6" width="26" hidden="0" customWidth="1"/>
  </x:cols>
  <x:sheetData>
    <x:row r="3">
      <x:c r="E3" s="12" t="s">
        <x:v>0</x:v>
      </x:c>
      <x:c r="F3" s="12" t="s">
        <x:v>1</x:v>
      </x:c>
      <x:c r="G3" s="12" t="s">
        <x:v>2</x:v>
      </x:c>
      <x:c r="H3" s="12" t="s">
        <x:v>3</x:v>
      </x:c>
    </x:row>
    <x:row r="4">
      <x:c r="E4" s="11" t="str">
        <x:v>處理中</x:v>
      </x:c>
      <x:c r="F4" s="14" t="n">
        <x:v>0</x:v>
      </x:c>
      <x:c r="G4" s="14" t="n">
        <x:f>COUNTA('問題單清單'!$A$2:$A$5000)-G5-G6-G7</x:f>
        <x:v>0</x:v>
      </x:c>
      <x:c r="H4" s="15" t="n">
        <x:f>IF(F4=0,IF(G4=0,0,1),G4/F4-1)</x:f>
        <x:v>0</x:v>
      </x:c>
    </x:row>
    <x:row r="5">
      <x:c r="E5" s="11" t="str">
        <x:v>待過版</x:v>
      </x:c>
      <x:c r="F5" s="14" t="n">
        <x:v>0</x:v>
      </x:c>
      <x:c r="G5" s="14" t="n">
        <x:f>COUNTIF('問題單清單'!$J$2:$J$5000,"待過版")</x:f>
        <x:v>0</x:v>
      </x:c>
      <x:c r="H5" s="15" t="n">
        <x:f>IF(F5=0,IF(G5=0,0,1),G5/F5-1)</x:f>
        <x:v>0</x:v>
      </x:c>
    </x:row>
    <x:row r="6">
      <x:c r="E6" s="11" t="str">
        <x:v>已解決（含已結束）</x:v>
      </x:c>
      <x:c r="F6" s="14" t="n">
        <x:v>0</x:v>
      </x:c>
      <x:c r="G6" s="14" t="n">
        <x:f>COUNTIF('問題單清單'!$J$2:$J$5000,"已解決")+COUNTIF('問題單清單'!$J$2:$J$5000,"已結束")</x:f>
        <x:v>0</x:v>
      </x:c>
      <x:c r="H6" s="15" t="n">
        <x:f>IF(F6=0,IF(G6=0,0,1),G6/F6-1)</x:f>
        <x:v>0</x:v>
      </x:c>
    </x:row>
    <x:row r="7">
      <x:c r="E7" s="11" t="str">
        <x:v>不明</x:v>
      </x:c>
      <x:c r="F7" s="14" t="n">
        <x:v>0</x:v>
      </x:c>
      <x:c r="G7" s="14" t="n">
        <x:f>COUNTIF('問題單清單'!$J$2:$J$5000,"不明")</x:f>
        <x:v>0</x:v>
      </x:c>
      <x:c r="H7" s="15" t="n">
        <x:f>IF(F7=0,IF(G7=0,0,1),G7/F7-1)</x:f>
        <x:v>0</x:v>
      </x:c>
    </x:row>
    <x:row r="9" ht="22" customHeight="1">
      <x:c r="E9" s="18" t="str">
        <x:v>更新摘要</x:v>
      </x:c>
      <x:c r="F9" s="18"/>
    </x:row>
    <x:row r="10" ht="20" customHeight="1">
      <x:c r="E10" s="23" t="str">
        <x:v>本次 CSV 筆數</x:v>
      </x:c>
      <x:c r="F10" s="24" t="n">
        <x:v>0</x:v>
      </x:c>
    </x:row>
    <x:row r="11" ht="20" customHeight="1">
      <x:c r="E11" s="23" t="str">
        <x:v>問題單總數</x:v>
      </x:c>
      <x:c r="F11" s="24" t="n">
        <x:f>COUNTA('問題單清單'!$A$2:$A$5000)</x:f>
        <x:v>0</x:v>
      </x:c>
    </x:row>
    <x:row r="12" ht="20" customHeight="1">
      <x:c r="E12" s="23" t="str">
        <x:v>新增問題單</x:v>
      </x:c>
      <x:c r="F12" s="24" t="n">
        <x:v>0</x:v>
      </x:c>
    </x:row>
    <x:row r="13" ht="20" customHeight="1">
      <x:c r="E13" s="23" t="str">
        <x:v>更新既有問題單</x:v>
      </x:c>
      <x:c r="F13" s="24" t="n">
        <x:v>0</x:v>
      </x:c>
    </x:row>
    <x:row r="14" ht="20" customHeight="1">
      <x:c r="E14" s="23" t="str">
        <x:v>缺單轉不明</x:v>
      </x:c>
      <x:c r="F14" s="24" t="n">
        <x:v>0</x:v>
      </x:c>
    </x:row>
    <x:row r="15" ht="20" customHeight="1">
      <x:c r="E15" s="23" t="str">
        <x:v>未變更</x:v>
      </x:c>
      <x:c r="F15" s="24" t="n">
        <x:v>0</x:v>
      </x:c>
    </x:row>
    <x:row r="16" ht="20" customHeight="1">
      <x:c r="E16" s="23" t="str">
        <x:v>更新時間</x:v>
      </x:c>
      <x:c r="F16" s="25"/>
    </x:row>
    <x:row r="17" ht="20" customHeight="1">
      <x:c r="E17" s="23" t="str">
        <x:v>來源 CSV</x:v>
      </x:c>
      <x:c r="F17" s="25"/>
    </x:row>
  </x:sheetData>
  <x:mergeCells>
    <x:mergeCell ref="E9:F9"/>
  </x:mergeCells>
  <x:pageMargins left="0.7" right="0.7" top="0.75" bottom="0.75" header="0.3" footer="0.3"/>
  <x:legacyDrawing xmlns:r="http://schemas.openxmlformats.org/officeDocument/2006/relationships" r:id="R96c5bd3a67b04d7e"/>
</x:worksheet>
</file>

<file path=xl/worksheets/sheet2.xml><?xml version="1.0" encoding="utf-8"?>
<x:worksheet xmlns:x="http://schemas.openxmlformats.org/spreadsheetml/2006/main">
  <x:sheetFormatPr defaultRowHeight="16.200000762939453"/>
  <x:cols>
    <x:col min="1" max="1" width="9.44140625" customWidth="1"/>
    <x:col min="2" max="2" width="16.6640625" customWidth="1"/>
    <x:col min="3" max="4" width="8.33203125" customWidth="1"/>
    <x:col min="5" max="5" width="10.5546875" customWidth="1"/>
    <x:col min="6" max="6" width="12.88671875" customWidth="1"/>
    <x:col min="7" max="8" width="11.6640625" customWidth="1"/>
    <x:col min="9" max="9" width="110.77734375" customWidth="1"/>
    <x:col min="10" max="10" width="13.5546875" customWidth="1"/>
    <x:col min="11" max="11" width="21.5546875" customWidth="1"/>
  </x:cols>
  <x:sheetData>
    <x:row r="1">
      <x:c r="A1" s="13" t="s">
        <x:v>4</x:v>
      </x:c>
      <x:c r="B1" s="13" t="s">
        <x:v>5</x:v>
      </x:c>
      <x:c r="C1" s="13" t="s">
        <x:v>6</x:v>
      </x:c>
      <x:c r="D1" s="13" t="s">
        <x:v>7</x:v>
      </x:c>
      <x:c r="E1" s="13" t="s">
        <x:v>8</x:v>
      </x:c>
      <x:c r="F1" s="13" t="s">
        <x:v>9</x:v>
      </x:c>
      <x:c r="G1" s="13" t="s">
        <x:v>10</x:v>
      </x:c>
      <x:c r="H1" s="13" t="s">
        <x:v>11</x:v>
      </x:c>
      <x:c r="I1" s="13" t="s">
        <x:v>12</x:v>
      </x:c>
      <x:c r="J1" s="13" t="s">
        <x:v>13</x:v>
      </x:c>
      <x:c r="K1" s="13" t="s">
        <x:v>14</x:v>
      </x:c>
    </x:row>
    <x:row r="2" hidden="1">
      <x:c r="A2"/>
      <x:c r="B2"/>
      <x:c r="C2"/>
      <x:c r="D2"/>
      <x:c r="E2"/>
      <x:c r="F2"/>
      <x:c r="G2" s="1"/>
      <x:c r="H2" s="1"/>
      <x:c r="I2"/>
      <x:c r="J2"/>
    </x:row>
    <x:row r="3" hidden="1">
      <x:c r="A3"/>
      <x:c r="B3"/>
      <x:c r="C3"/>
      <x:c r="D3"/>
      <x:c r="E3"/>
      <x:c r="F3"/>
      <x:c r="G3" s="1"/>
      <x:c r="H3" s="1"/>
      <x:c r="I3"/>
      <x:c r="J3"/>
    </x:row>
    <x:row r="4" hidden="1">
      <x:c r="A4"/>
      <x:c r="B4"/>
      <x:c r="C4"/>
      <x:c r="D4"/>
      <x:c r="E4"/>
      <x:c r="F4"/>
      <x:c r="G4" s="1"/>
      <x:c r="H4" s="1"/>
      <x:c r="I4"/>
      <x:c r="J4"/>
    </x:row>
    <x:row r="5" hidden="1">
      <x:c r="A5"/>
      <x:c r="B5"/>
      <x:c r="C5"/>
      <x:c r="D5"/>
      <x:c r="E5"/>
      <x:c r="F5"/>
      <x:c r="G5" s="1"/>
      <x:c r="H5" s="1"/>
      <x:c r="I5"/>
      <x:c r="J5"/>
    </x:row>
    <x:row r="6" hidden="1">
      <x:c r="A6"/>
      <x:c r="B6"/>
      <x:c r="C6"/>
      <x:c r="D6"/>
      <x:c r="E6"/>
      <x:c r="F6"/>
      <x:c r="G6" s="1"/>
      <x:c r="H6" s="1"/>
      <x:c r="I6"/>
      <x:c r="J6"/>
    </x:row>
    <x:row r="7" hidden="1">
      <x:c r="A7"/>
      <x:c r="B7"/>
      <x:c r="C7"/>
      <x:c r="D7"/>
      <x:c r="E7"/>
      <x:c r="F7"/>
      <x:c r="G7" s="1"/>
      <x:c r="H7" s="1"/>
      <x:c r="I7"/>
      <x:c r="J7"/>
    </x:row>
    <x:row r="8">
      <x:c r="A8" s="8"/>
      <x:c r="B8" s="8"/>
      <x:c r="C8" s="8"/>
      <x:c r="D8" s="8"/>
      <x:c r="E8" s="8"/>
      <x:c r="F8" s="8"/>
      <x:c r="G8" s="9"/>
      <x:c r="H8" s="9"/>
      <x:c r="I8" s="8"/>
      <x:c r="J8" s="8"/>
      <x:c r="K8" s="8"/>
    </x:row>
    <x:row r="9" hidden="1">
      <x:c r="A9"/>
      <x:c r="B9"/>
      <x:c r="C9"/>
      <x:c r="D9"/>
      <x:c r="E9"/>
      <x:c r="F9"/>
      <x:c r="G9" s="1"/>
      <x:c r="H9" s="1"/>
      <x:c r="I9"/>
      <x:c r="J9"/>
    </x:row>
    <x:row r="10" hidden="1">
      <x:c r="A10"/>
      <x:c r="B10"/>
      <x:c r="C10"/>
      <x:c r="D10"/>
      <x:c r="E10"/>
      <x:c r="F10"/>
      <x:c r="G10" s="1"/>
      <x:c r="H10" s="1"/>
      <x:c r="I10"/>
      <x:c r="J10"/>
    </x:row>
    <x:row r="11" hidden="1">
      <x:c r="A11"/>
      <x:c r="B11"/>
      <x:c r="C11"/>
      <x:c r="D11"/>
      <x:c r="E11"/>
      <x:c r="F11"/>
      <x:c r="G11" s="1"/>
      <x:c r="H11" s="1"/>
      <x:c r="I11"/>
      <x:c r="J11"/>
    </x:row>
    <x:row r="12" hidden="1">
      <x:c r="A12"/>
      <x:c r="B12"/>
      <x:c r="C12"/>
      <x:c r="D12"/>
      <x:c r="E12"/>
      <x:c r="F12"/>
      <x:c r="G12" s="1"/>
      <x:c r="H12" s="1"/>
      <x:c r="I12"/>
      <x:c r="J12"/>
      <x:c r="K12" s="7"/>
    </x:row>
    <x:row r="13" s="4" customFormat="1" hidden="1">
      <x:c r="A13" s="4"/>
      <x:c r="B13" s="4"/>
      <x:c r="C13" s="4"/>
      <x:c r="D13" s="4"/>
      <x:c r="E13" s="4"/>
      <x:c r="F13" s="4"/>
      <x:c r="G13" s="5"/>
      <x:c r="H13" s="5"/>
      <x:c r="I13" s="4"/>
      <x:c r="J13" s="4"/>
    </x:row>
    <x:row r="14" hidden="1">
      <x:c r="A14"/>
      <x:c r="B14"/>
      <x:c r="C14"/>
      <x:c r="D14"/>
      <x:c r="E14"/>
      <x:c r="F14"/>
      <x:c r="G14" s="1"/>
      <x:c r="H14" s="1"/>
      <x:c r="I14"/>
      <x:c r="J14"/>
    </x:row>
    <x:row r="15" hidden="1">
      <x:c r="A15"/>
      <x:c r="B15"/>
      <x:c r="C15"/>
      <x:c r="D15"/>
      <x:c r="E15"/>
      <x:c r="F15"/>
      <x:c r="G15" s="1"/>
      <x:c r="H15" s="1"/>
      <x:c r="I15"/>
      <x:c r="J15"/>
      <x:c r="K15" s="7"/>
    </x:row>
    <x:row r="16" hidden="1">
      <x:c r="A16"/>
      <x:c r="B16"/>
      <x:c r="C16"/>
      <x:c r="D16"/>
      <x:c r="E16"/>
      <x:c r="F16"/>
      <x:c r="G16" s="1"/>
      <x:c r="H16" s="1"/>
      <x:c r="I16"/>
      <x:c r="J16"/>
    </x:row>
    <x:row r="17" hidden="1">
      <x:c r="A17"/>
      <x:c r="B17"/>
      <x:c r="C17"/>
      <x:c r="D17"/>
      <x:c r="E17"/>
      <x:c r="F17"/>
      <x:c r="G17" s="1"/>
      <x:c r="H17" s="1"/>
      <x:c r="I17"/>
      <x:c r="J17"/>
      <x:c r="K17" s="7"/>
    </x:row>
    <x:row r="18" hidden="1">
      <x:c r="A18"/>
      <x:c r="B18"/>
      <x:c r="C18"/>
      <x:c r="D18"/>
      <x:c r="E18"/>
      <x:c r="F18"/>
      <x:c r="G18" s="1"/>
      <x:c r="H18" s="1"/>
      <x:c r="I18"/>
      <x:c r="J18"/>
    </x:row>
    <x:row r="19" hidden="1">
      <x:c r="A19"/>
      <x:c r="C19"/>
      <x:c r="D19"/>
      <x:c r="E19"/>
      <x:c r="F19"/>
      <x:c r="G19" s="1"/>
      <x:c r="H19" s="1"/>
      <x:c r="I19"/>
      <x:c r="J19"/>
      <x:c r="K19" s="7"/>
    </x:row>
    <x:row r="20" hidden="1">
      <x:c r="A20"/>
      <x:c r="B20"/>
      <x:c r="C20"/>
      <x:c r="D20"/>
      <x:c r="E20"/>
      <x:c r="F20"/>
      <x:c r="G20" s="1"/>
      <x:c r="H20" s="1"/>
      <x:c r="I20"/>
      <x:c r="J20"/>
      <x:c r="K20" s="7"/>
    </x:row>
    <x:row r="21" hidden="1">
      <x:c r="A21"/>
      <x:c r="B21"/>
      <x:c r="C21"/>
      <x:c r="D21"/>
      <x:c r="E21"/>
      <x:c r="F21"/>
      <x:c r="G21" s="1"/>
      <x:c r="H21" s="1"/>
      <x:c r="I21"/>
      <x:c r="J21"/>
    </x:row>
    <x:row r="22" hidden="1">
      <x:c r="A22"/>
      <x:c r="B22"/>
      <x:c r="C22"/>
      <x:c r="D22"/>
      <x:c r="E22"/>
      <x:c r="F22"/>
      <x:c r="G22" s="1"/>
      <x:c r="H22" s="1"/>
      <x:c r="I22"/>
      <x:c r="J22"/>
    </x:row>
    <x:row r="23" hidden="1">
      <x:c r="A23"/>
      <x:c r="B23"/>
      <x:c r="C23"/>
      <x:c r="D23"/>
      <x:c r="E23"/>
      <x:c r="F23"/>
      <x:c r="G23" s="1"/>
      <x:c r="H23" s="1"/>
      <x:c r="I23"/>
      <x:c r="J23"/>
    </x:row>
    <x:row r="24" hidden="1">
      <x:c r="A24"/>
      <x:c r="B24"/>
      <x:c r="C24"/>
      <x:c r="D24"/>
      <x:c r="E24"/>
      <x:c r="F24"/>
      <x:c r="G24" s="1"/>
      <x:c r="H24" s="1"/>
      <x:c r="I24"/>
      <x:c r="J24"/>
    </x:row>
    <x:row r="25" hidden="1">
      <x:c r="A25"/>
      <x:c r="B25"/>
      <x:c r="C25"/>
      <x:c r="D25"/>
      <x:c r="E25"/>
      <x:c r="F25"/>
      <x:c r="G25" s="1"/>
      <x:c r="H25" s="1"/>
      <x:c r="I25"/>
      <x:c r="J25"/>
    </x:row>
    <x:row r="26" hidden="1">
      <x:c r="A26"/>
      <x:c r="B26"/>
      <x:c r="C26"/>
      <x:c r="D26"/>
      <x:c r="E26"/>
      <x:c r="F26"/>
      <x:c r="G26" s="1"/>
      <x:c r="H26" s="1"/>
      <x:c r="I26"/>
      <x:c r="J26"/>
    </x:row>
    <x:row r="27" hidden="1">
      <x:c r="A27"/>
      <x:c r="B27"/>
      <x:c r="C27"/>
      <x:c r="D27"/>
      <x:c r="E27"/>
      <x:c r="F27"/>
      <x:c r="G27" s="1"/>
      <x:c r="H27" s="1"/>
      <x:c r="I27"/>
      <x:c r="J27"/>
    </x:row>
    <x:row r="28">
      <x:c r="A28" s="8"/>
      <x:c r="B28" s="8"/>
      <x:c r="C28" s="8"/>
      <x:c r="D28" s="8"/>
      <x:c r="E28" s="8"/>
      <x:c r="F28" s="8"/>
      <x:c r="G28" s="9"/>
      <x:c r="H28" s="9"/>
      <x:c r="I28" s="8"/>
      <x:c r="J28" s="8"/>
      <x:c r="K28" s="8"/>
    </x:row>
    <x:row r="29" hidden="1">
      <x:c r="A29"/>
      <x:c r="B29"/>
      <x:c r="C29"/>
      <x:c r="D29"/>
      <x:c r="E29"/>
      <x:c r="F29"/>
      <x:c r="G29" s="1"/>
      <x:c r="H29" s="1"/>
      <x:c r="I29"/>
      <x:c r="J29"/>
      <x:c r="K29" s="7"/>
    </x:row>
    <x:row r="30">
      <x:c r="A30" s="8"/>
      <x:c r="B30" s="8"/>
      <x:c r="C30" s="8"/>
      <x:c r="D30" s="8"/>
      <x:c r="E30" s="8"/>
      <x:c r="F30" s="8"/>
      <x:c r="G30" s="9"/>
      <x:c r="H30" s="9"/>
      <x:c r="I30" s="8"/>
      <x:c r="J30" s="8"/>
      <x:c r="K30" s="8"/>
    </x:row>
    <x:row r="31" hidden="1">
      <x:c r="A31"/>
      <x:c r="B31"/>
      <x:c r="C31"/>
      <x:c r="D31"/>
      <x:c r="E31"/>
      <x:c r="F31"/>
      <x:c r="G31" s="1"/>
      <x:c r="H31" s="1"/>
      <x:c r="I31"/>
      <x:c r="J31"/>
    </x:row>
    <x:row r="32" hidden="1">
      <x:c r="A32"/>
      <x:c r="B32"/>
      <x:c r="C32"/>
      <x:c r="D32"/>
      <x:c r="E32"/>
      <x:c r="F32"/>
      <x:c r="G32" s="1"/>
      <x:c r="H32" s="1"/>
      <x:c r="I32"/>
      <x:c r="J32"/>
    </x:row>
    <x:row r="33" hidden="1">
      <x:c r="A33"/>
      <x:c r="B33"/>
      <x:c r="C33"/>
      <x:c r="D33"/>
      <x:c r="E33"/>
      <x:c r="F33"/>
      <x:c r="G33" s="1"/>
      <x:c r="H33" s="1"/>
      <x:c r="I33"/>
      <x:c r="J33"/>
    </x:row>
    <x:row r="34" hidden="1">
      <x:c r="A34"/>
      <x:c r="B34"/>
      <x:c r="C34"/>
      <x:c r="D34"/>
      <x:c r="E34"/>
      <x:c r="F34"/>
      <x:c r="G34" s="1"/>
      <x:c r="H34" s="1"/>
      <x:c r="I34"/>
      <x:c r="J34"/>
    </x:row>
    <x:row r="35" hidden="1">
      <x:c r="A35"/>
      <x:c r="B35"/>
      <x:c r="C35"/>
      <x:c r="D35"/>
      <x:c r="E35"/>
      <x:c r="F35"/>
      <x:c r="G35" s="1"/>
      <x:c r="H35" s="1"/>
      <x:c r="I35"/>
      <x:c r="J35"/>
    </x:row>
    <x:row r="36">
      <x:c r="A36" s="8"/>
      <x:c r="B36" s="8"/>
      <x:c r="C36" s="8"/>
      <x:c r="D36" s="8"/>
      <x:c r="E36" s="8"/>
      <x:c r="F36" s="8"/>
      <x:c r="G36" s="9"/>
      <x:c r="H36" s="9"/>
      <x:c r="I36" s="8"/>
      <x:c r="J36" s="8"/>
      <x:c r="K36" s="8"/>
    </x:row>
    <x:row r="37">
      <x:c r="A37" s="8"/>
      <x:c r="B37" s="8"/>
      <x:c r="C37" s="8"/>
      <x:c r="D37" s="8"/>
      <x:c r="E37" s="8"/>
      <x:c r="F37" s="8"/>
      <x:c r="G37" s="9"/>
      <x:c r="H37" s="9"/>
      <x:c r="I37" s="8"/>
      <x:c r="J37" s="8"/>
      <x:c r="K37" s="8"/>
    </x:row>
    <x:row r="38" hidden="1">
      <x:c r="A38"/>
      <x:c r="B38"/>
      <x:c r="C38"/>
      <x:c r="D38"/>
      <x:c r="E38"/>
      <x:c r="F38"/>
      <x:c r="G38" s="1"/>
      <x:c r="H38" s="1"/>
      <x:c r="I38"/>
      <x:c r="J38"/>
    </x:row>
    <x:row r="39">
      <x:c r="A39" s="8"/>
      <x:c r="B39" s="8"/>
      <x:c r="C39" s="8"/>
      <x:c r="D39" s="8"/>
      <x:c r="E39" s="8"/>
      <x:c r="F39" s="8"/>
      <x:c r="G39" s="9"/>
      <x:c r="H39" s="9"/>
      <x:c r="I39" s="8"/>
      <x:c r="J39" s="8"/>
      <x:c r="K39" s="8"/>
    </x:row>
    <x:row r="40" hidden="1">
      <x:c r="A40"/>
      <x:c r="B40"/>
      <x:c r="C40"/>
      <x:c r="D40"/>
      <x:c r="E40"/>
      <x:c r="F40"/>
      <x:c r="G40" s="1"/>
      <x:c r="H40" s="1"/>
      <x:c r="I40"/>
      <x:c r="J40" s="7"/>
    </x:row>
    <x:row r="41" hidden="1">
      <x:c r="A41"/>
      <x:c r="B41"/>
      <x:c r="C41"/>
      <x:c r="D41"/>
      <x:c r="E41"/>
      <x:c r="F41"/>
      <x:c r="G41" s="1"/>
      <x:c r="H41" s="1"/>
      <x:c r="I41"/>
      <x:c r="J41"/>
    </x:row>
    <x:row r="42" hidden="1">
      <x:c r="A42"/>
      <x:c r="B42"/>
      <x:c r="C42"/>
      <x:c r="D42"/>
      <x:c r="E42"/>
      <x:c r="F42"/>
      <x:c r="G42" s="1"/>
      <x:c r="H42" s="1"/>
      <x:c r="I42"/>
      <x:c r="J42"/>
    </x:row>
    <x:row r="43" hidden="1">
      <x:c r="A43"/>
      <x:c r="B43"/>
      <x:c r="C43"/>
      <x:c r="D43"/>
      <x:c r="E43"/>
      <x:c r="F43"/>
      <x:c r="G43" s="1"/>
      <x:c r="H43" s="1"/>
      <x:c r="I43"/>
      <x:c r="J43"/>
    </x:row>
    <x:row r="44" hidden="1">
      <x:c r="A44"/>
      <x:c r="B44"/>
      <x:c r="C44"/>
      <x:c r="D44"/>
      <x:c r="E44"/>
      <x:c r="F44"/>
      <x:c r="G44" s="1"/>
      <x:c r="H44" s="1"/>
      <x:c r="I44"/>
      <x:c r="J44"/>
    </x:row>
    <x:row r="45" hidden="1">
      <x:c r="A45"/>
      <x:c r="B45"/>
      <x:c r="C45"/>
      <x:c r="D45"/>
      <x:c r="E45"/>
      <x:c r="F45"/>
      <x:c r="G45" s="1"/>
      <x:c r="H45" s="1"/>
      <x:c r="I45"/>
      <x:c r="J45"/>
    </x:row>
    <x:row r="46" hidden="1">
      <x:c r="A46"/>
      <x:c r="B46"/>
      <x:c r="C46"/>
      <x:c r="D46"/>
      <x:c r="E46"/>
      <x:c r="F46"/>
      <x:c r="G46" s="1"/>
      <x:c r="H46" s="1"/>
      <x:c r="I46"/>
      <x:c r="J46"/>
    </x:row>
    <x:row r="47" hidden="1">
      <x:c r="A47"/>
      <x:c r="B47"/>
      <x:c r="C47"/>
      <x:c r="D47"/>
      <x:c r="E47"/>
      <x:c r="F47"/>
      <x:c r="G47" s="1"/>
      <x:c r="H47" s="1"/>
      <x:c r="I47"/>
      <x:c r="J47"/>
    </x:row>
    <x:row r="48" s="2" customFormat="1" hidden="1">
      <x:c r="A48" s="2"/>
      <x:c r="B48" s="2"/>
      <x:c r="C48" s="2"/>
      <x:c r="D48" s="2"/>
      <x:c r="E48" s="2"/>
      <x:c r="F48" s="2"/>
      <x:c r="G48" s="3"/>
      <x:c r="H48" s="3"/>
      <x:c r="I48" s="2"/>
      <x:c r="J48" s="2"/>
      <x:c r="K48" s="2"/>
    </x:row>
    <x:row r="49" s="2" customFormat="1" hidden="1">
      <x:c r="A49" s="2"/>
      <x:c r="B49" s="2"/>
      <x:c r="C49" s="2"/>
      <x:c r="D49" s="2"/>
      <x:c r="E49" s="2"/>
      <x:c r="F49" s="2"/>
      <x:c r="G49" s="3"/>
      <x:c r="H49" s="3"/>
      <x:c r="I49" s="2"/>
      <x:c r="J49" s="2"/>
      <x:c r="K49" s="2"/>
    </x:row>
    <x:row r="50" s="8" customFormat="1">
      <x:c r="A50" s="8"/>
      <x:c r="B50" s="8"/>
      <x:c r="C50" s="8"/>
      <x:c r="D50" s="8"/>
      <x:c r="E50" s="8"/>
      <x:c r="F50" s="8"/>
      <x:c r="G50" s="9"/>
      <x:c r="H50" s="9"/>
      <x:c r="I50" s="8"/>
      <x:c r="J50" s="8"/>
    </x:row>
    <x:row r="51" s="8" customFormat="1">
      <x:c r="A51" s="8"/>
      <x:c r="B51" s="8"/>
      <x:c r="C51" s="8"/>
      <x:c r="D51" s="8"/>
      <x:c r="E51" s="8"/>
      <x:c r="F51" s="8"/>
      <x:c r="G51" s="9"/>
      <x:c r="H51" s="9"/>
      <x:c r="I51" s="8"/>
      <x:c r="J51" s="8"/>
    </x:row>
    <x:row r="52" hidden="1">
      <x:c r="A52"/>
      <x:c r="B52"/>
      <x:c r="C52"/>
      <x:c r="D52"/>
      <x:c r="E52"/>
      <x:c r="F52"/>
      <x:c r="G52" s="1"/>
      <x:c r="H52" s="1"/>
      <x:c r="I52"/>
      <x:c r="J52"/>
    </x:row>
    <x:row r="53">
      <x:c r="A53" s="8"/>
      <x:c r="B53" s="8"/>
      <x:c r="C53" s="8"/>
      <x:c r="D53" s="8"/>
      <x:c r="E53" s="8"/>
      <x:c r="F53" s="8"/>
      <x:c r="G53" s="9"/>
      <x:c r="H53" s="9"/>
      <x:c r="I53" s="8"/>
      <x:c r="J53" s="8"/>
      <x:c r="K53" s="8"/>
    </x:row>
    <x:row r="54">
      <x:c r="A54" s="8"/>
      <x:c r="B54" s="8"/>
      <x:c r="C54" s="8"/>
      <x:c r="D54" s="8"/>
      <x:c r="E54" s="8"/>
      <x:c r="F54" s="8"/>
      <x:c r="G54" s="9"/>
      <x:c r="H54" s="9"/>
      <x:c r="I54" s="8"/>
      <x:c r="J54" s="8"/>
      <x:c r="K54" s="8"/>
    </x:row>
    <x:row r="55">
      <x:c r="A55" s="8"/>
      <x:c r="B55" s="8"/>
      <x:c r="C55" s="8"/>
      <x:c r="D55" s="8"/>
      <x:c r="E55" s="8"/>
      <x:c r="F55" s="8"/>
      <x:c r="G55" s="9"/>
      <x:c r="H55" s="9"/>
      <x:c r="I55" s="8"/>
      <x:c r="J55" s="8"/>
      <x:c r="K55" s="8"/>
    </x:row>
    <x:row r="56" s="8" customFormat="1">
      <x:c r="A56" s="8"/>
      <x:c r="B56" s="8"/>
      <x:c r="C56" s="8"/>
      <x:c r="D56" s="8"/>
      <x:c r="E56" s="8"/>
      <x:c r="F56" s="8"/>
      <x:c r="G56" s="9"/>
      <x:c r="H56" s="9"/>
      <x:c r="I56" s="8"/>
      <x:c r="J56" s="8"/>
    </x:row>
    <x:row r="57" hidden="1">
      <x:c r="A57"/>
      <x:c r="B57"/>
      <x:c r="C57"/>
      <x:c r="D57"/>
      <x:c r="E57"/>
      <x:c r="F57"/>
      <x:c r="G57" s="1"/>
      <x:c r="H57" s="1"/>
      <x:c r="I57"/>
      <x:c r="J57"/>
    </x:row>
    <x:row r="58" hidden="1">
      <x:c r="A58"/>
      <x:c r="B58"/>
      <x:c r="C58"/>
      <x:c r="D58"/>
      <x:c r="E58"/>
      <x:c r="F58"/>
      <x:c r="G58" s="6"/>
      <x:c r="H58" s="6"/>
      <x:c r="I58"/>
      <x:c r="J58"/>
    </x:row>
    <x:row r="59" hidden="1">
      <x:c r="A59"/>
      <x:c r="B59"/>
      <x:c r="C59"/>
      <x:c r="D59"/>
      <x:c r="E59"/>
      <x:c r="F59"/>
      <x:c r="G59" s="6"/>
      <x:c r="H59" s="6"/>
      <x:c r="I59"/>
      <x:c r="J59"/>
    </x:row>
    <x:row r="60">
      <x:c r="A60" s="8"/>
      <x:c r="B60" s="8"/>
      <x:c r="C60" s="8"/>
      <x:c r="D60" s="8"/>
      <x:c r="E60" s="8"/>
      <x:c r="F60" s="8"/>
      <x:c r="G60" s="10"/>
      <x:c r="H60" s="10"/>
      <x:c r="I60" s="8"/>
      <x:c r="J60" s="8"/>
      <x:c r="K60" s="8"/>
    </x:row>
    <x:row r="61" hidden="1">
      <x:c r="A61"/>
      <x:c r="B61"/>
      <x:c r="C61"/>
      <x:c r="D61"/>
      <x:c r="E61"/>
      <x:c r="F61"/>
      <x:c r="G61" s="6"/>
      <x:c r="H61" s="6"/>
      <x:c r="I61"/>
      <x:c r="J61"/>
    </x:row>
    <x:row r="62">
      <x:c r="A62" s="8"/>
      <x:c r="B62" s="8"/>
      <x:c r="C62" s="8"/>
      <x:c r="D62" s="8"/>
      <x:c r="E62" s="8"/>
      <x:c r="F62" s="8"/>
      <x:c r="G62" s="10"/>
      <x:c r="H62" s="10"/>
      <x:c r="I62" s="8"/>
      <x:c r="J62" s="8"/>
      <x:c r="K62" s="8"/>
    </x:row>
    <x:row r="63" hidden="1">
      <x:c r="A63"/>
      <x:c r="B63"/>
      <x:c r="C63"/>
      <x:c r="D63"/>
      <x:c r="E63"/>
      <x:c r="F63"/>
      <x:c r="G63" s="6"/>
      <x:c r="H63" s="6"/>
      <x:c r="I63"/>
      <x:c r="J63"/>
    </x:row>
    <x:row r="64">
      <x:c r="A64" s="8"/>
      <x:c r="B64" s="8"/>
      <x:c r="C64" s="8"/>
      <x:c r="D64" s="8"/>
      <x:c r="E64" s="8"/>
      <x:c r="F64" s="8"/>
      <x:c r="G64" s="10"/>
      <x:c r="H64" s="10"/>
      <x:c r="I64" s="8"/>
      <x:c r="J64" s="8"/>
      <x:c r="K64" s="8"/>
    </x:row>
    <x:row r="65">
      <x:c r="A65" s="8"/>
      <x:c r="B65" s="8"/>
      <x:c r="C65" s="8"/>
      <x:c r="D65" s="8"/>
      <x:c r="E65" s="8"/>
      <x:c r="F65" s="8"/>
      <x:c r="G65" s="10"/>
      <x:c r="H65" s="10"/>
      <x:c r="I65" s="8"/>
      <x:c r="J65" s="8"/>
      <x:c r="K65" s="8"/>
    </x:row>
    <x:row r="66">
      <x:c r="A66" s="8"/>
      <x:c r="B66" s="8"/>
      <x:c r="C66" s="8"/>
      <x:c r="D66" s="8"/>
      <x:c r="E66" s="8"/>
      <x:c r="F66" s="8"/>
      <x:c r="G66" s="10"/>
      <x:c r="H66" s="10"/>
      <x:c r="I66" s="8"/>
      <x:c r="J66" s="8"/>
      <x:c r="K66" s="8"/>
    </x:row>
    <x:row r="67" hidden="1">
      <x:c r="A67"/>
      <x:c r="B67"/>
      <x:c r="C67"/>
      <x:c r="D67"/>
      <x:c r="E67"/>
      <x:c r="F67"/>
      <x:c r="G67" s="6"/>
      <x:c r="H67" s="6"/>
      <x:c r="I67"/>
      <x:c r="J67"/>
    </x:row>
    <x:row r="68">
      <x:c r="A68" s="8"/>
      <x:c r="B68" s="8"/>
      <x:c r="C68" s="8"/>
      <x:c r="D68" s="8"/>
      <x:c r="E68" s="8"/>
      <x:c r="F68" s="8"/>
      <x:c r="G68" s="10"/>
      <x:c r="H68" s="10"/>
      <x:c r="I68" s="8"/>
      <x:c r="J68" s="8"/>
      <x:c r="K68" s="8"/>
    </x:row>
    <x:row r="69" hidden="1">
      <x:c r="A69"/>
      <x:c r="B69"/>
      <x:c r="C69"/>
      <x:c r="D69"/>
      <x:c r="E69"/>
      <x:c r="F69"/>
      <x:c r="G69" s="6"/>
      <x:c r="H69" s="6"/>
      <x:c r="I69"/>
      <x:c r="J69"/>
    </x:row>
    <x:row r="70" hidden="1">
      <x:c r="A70"/>
      <x:c r="B70"/>
      <x:c r="C70"/>
      <x:c r="D70"/>
      <x:c r="E70"/>
      <x:c r="F70"/>
      <x:c r="G70" s="6"/>
      <x:c r="H70" s="6"/>
      <x:c r="I70"/>
      <x:c r="J70"/>
    </x:row>
    <x:row r="71" hidden="1">
      <x:c r="A71"/>
      <x:c r="B71"/>
      <x:c r="C71"/>
      <x:c r="D71"/>
      <x:c r="E71"/>
      <x:c r="F71"/>
      <x:c r="G71" s="6"/>
      <x:c r="H71" s="6"/>
      <x:c r="I71"/>
      <x:c r="J7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200000762939453"/>
  <x:cols>
    <x:col min="1" max="1" width="8.88671875" customWidth="1"/>
    <x:col min="2" max="2" width="30.5546875" customWidth="1"/>
    <x:col min="3" max="3" width="15.109375" customWidth="1"/>
    <x:col min="4" max="4" width="15.21875" customWidth="1"/>
    <x:col min="5" max="5" width="17.33203125" customWidth="1"/>
    <x:col min="6" max="6" width="50" customWidth="1"/>
  </x:cols>
  <x:sheetData>
    <x:row r="1" ht="19.200000762939453" customHeight="1">
      <x:c r="A1" s="13" t="s">
        <x:v>15</x:v>
      </x:c>
      <x:c r="B1" s="13" t="s">
        <x:v>16</x:v>
      </x:c>
      <x:c r="C1" s="13" t="s">
        <x:v>17</x:v>
      </x:c>
      <x:c r="D1" s="13" t="s">
        <x:v>18</x:v>
      </x:c>
      <x:c r="E1" s="13" t="s">
        <x:v>19</x:v>
      </x:c>
      <x:c r="F1" s="13" t="s">
        <x:v>14</x:v>
      </x:c>
    </x:row>
  </x:sheetData>
  <x:pageMargins left="0.7" right="0.7" top="0.75" bottom="0.75" header="0.3" footer="0.3"/>
</x:worksheet>
</file>